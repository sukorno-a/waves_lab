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imperiallondon.sharepoint.com/sites/2ndyearlabWaves/Shared Documents/General/Bessel Things for FSV/"/>
    </mc:Choice>
  </mc:AlternateContent>
  <xr:revisionPtr revIDLastSave="321" documentId="13_ncr:1_{5CE66DAD-F1CC-8D47-A889-07EB45BA0A39}" xr6:coauthVersionLast="45" xr6:coauthVersionMax="45" xr10:uidLastSave="{6E3ABE9C-F4F8-4AB1-9DC3-A7CACF3A4370}"/>
  <bookViews>
    <workbookView xWindow="-120" yWindow="-16320" windowWidth="29040" windowHeight="15840" xr2:uid="{00000000-000D-0000-FFFF-FFFF00000000}"/>
  </bookViews>
  <sheets>
    <sheet name="Bessel" sheetId="1" r:id="rId1"/>
  </sheets>
  <functionGroups builtInGroupCount="19"/>
  <definedNames>
    <definedName name="solver_adj" localSheetId="0" hidden="1">Bessel!$F$17</definedName>
    <definedName name="solver_cvg" localSheetId="0" hidden="1">0.000001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10000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Bessel!$C$17</definedName>
    <definedName name="solver_pre" localSheetId="0" hidden="1">0.0000001</definedName>
    <definedName name="solver_rbv" localSheetId="0" hidden="1">1</definedName>
    <definedName name="solver_rlx" localSheetId="0" hidden="1">1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100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2" i="1" l="1"/>
  <c r="C21" i="1"/>
  <c r="C11" i="1"/>
  <c r="F18" i="1"/>
  <c r="C17" i="1"/>
  <c r="F15" i="1"/>
  <c r="C16" i="1"/>
  <c r="C2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ICT</author>
  </authors>
  <commentList>
    <comment ref="C16" authorId="0" shapeId="0" xr:uid="{00000000-0006-0000-0000-000002000000}">
      <text>
        <r>
          <rPr>
            <b/>
            <sz val="8"/>
            <color rgb="FF000000"/>
            <rFont val="Arial"/>
            <family val="34"/>
          </rPr>
          <t xml:space="preserve">Use solver to get zero on this cell '$C$16' by changing the value of </t>
        </r>
        <r>
          <rPr>
            <b/>
            <sz val="9"/>
            <color rgb="FF000000"/>
            <rFont val="Arial"/>
            <family val="2"/>
          </rPr>
          <t>α</t>
        </r>
        <r>
          <rPr>
            <b/>
            <sz val="8"/>
            <color rgb="FF000000"/>
            <rFont val="Arial"/>
            <family val="2"/>
          </rPr>
          <t xml:space="preserve"> in cell</t>
        </r>
        <r>
          <rPr>
            <b/>
            <sz val="8"/>
            <color rgb="FF000000"/>
            <rFont val="Arial"/>
            <family val="34"/>
          </rPr>
          <t xml:space="preserve"> '$F$14'</t>
        </r>
      </text>
    </comment>
    <comment ref="C17" authorId="0" shapeId="0" xr:uid="{00000000-0006-0000-0000-000003000000}">
      <text>
        <r>
          <rPr>
            <b/>
            <sz val="8"/>
            <color rgb="FF000000"/>
            <rFont val="Arial"/>
            <family val="34"/>
          </rPr>
          <t>Use solver to get zero on this cell '$C$17' by changing the value of α in cell '$F$17'</t>
        </r>
      </text>
    </comment>
  </commentList>
</comments>
</file>

<file path=xl/sharedStrings.xml><?xml version="1.0" encoding="utf-8"?>
<sst xmlns="http://schemas.openxmlformats.org/spreadsheetml/2006/main" count="23" uniqueCount="22">
  <si>
    <t>Inner radius (m)</t>
  </si>
  <si>
    <t>Outer radius (m)</t>
  </si>
  <si>
    <t>EXCEL spread sheet for data analysis using cylindrical geometry</t>
  </si>
  <si>
    <t>Transmission factor</t>
  </si>
  <si>
    <t>.</t>
  </si>
  <si>
    <t>Phase lag (rad)</t>
  </si>
  <si>
    <t xml:space="preserve">Ratio of radii (m) </t>
  </si>
  <si>
    <t>From that we obtain…</t>
  </si>
  <si>
    <t xml:space="preserve">Now we will use a solver  to get the value of </t>
  </si>
  <si>
    <t xml:space="preserve">𝛼 in equations 2.9 and 2.10 on the script: </t>
  </si>
  <si>
    <t>D (from transmission)</t>
  </si>
  <si>
    <t>D (from phase lag)</t>
  </si>
  <si>
    <t>Period (s.)</t>
  </si>
  <si>
    <r>
      <t xml:space="preserve">Frenquency </t>
    </r>
    <r>
      <rPr>
        <b/>
        <sz val="12"/>
        <rFont val="Symbol"/>
        <family val="1"/>
        <charset val="2"/>
      </rPr>
      <t>w</t>
    </r>
    <r>
      <rPr>
        <b/>
        <sz val="12"/>
        <rFont val="Arial"/>
        <family val="2"/>
      </rPr>
      <t xml:space="preserve"> (rad / s)</t>
    </r>
  </si>
  <si>
    <r>
      <t xml:space="preserve">Estimated </t>
    </r>
    <r>
      <rPr>
        <i/>
        <sz val="11"/>
        <rFont val="Arial"/>
        <family val="2"/>
      </rPr>
      <t xml:space="preserve">α </t>
    </r>
    <r>
      <rPr>
        <sz val="11"/>
        <rFont val="Arial"/>
        <family val="2"/>
      </rPr>
      <t>:</t>
    </r>
  </si>
  <si>
    <t xml:space="preserve"> Corresponding </t>
  </si>
  <si>
    <t xml:space="preserve"> Corresponding</t>
  </si>
  <si>
    <r>
      <t xml:space="preserve">Finally, from the value obtained for </t>
    </r>
    <r>
      <rPr>
        <b/>
        <i/>
        <sz val="12"/>
        <rFont val="Arial"/>
        <family val="2"/>
      </rPr>
      <t>α,</t>
    </r>
    <r>
      <rPr>
        <b/>
        <sz val="12"/>
        <rFont val="Arial"/>
        <family val="2"/>
      </rPr>
      <t xml:space="preserve"> we can  </t>
    </r>
  </si>
  <si>
    <t>calculate the thermal diffusivity using</t>
  </si>
  <si>
    <t>Transmission Calculations from the Solver:</t>
  </si>
  <si>
    <t>Phase Lag Diffusivity Calculations from the Solver:</t>
  </si>
  <si>
    <r>
      <rPr>
        <b/>
        <sz val="12"/>
        <rFont val="Arial"/>
        <family val="2"/>
      </rPr>
      <t>INSERT YOUR MEASURED DATA HERE:</t>
    </r>
    <r>
      <rPr>
        <sz val="12"/>
        <rFont val="Arial"/>
        <family val="2"/>
      </rPr>
      <t xml:space="preserve">
Note: Phase is determined to within [0, 2*pi]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</si>
</sst>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E+00"/>
    <numFmt numFmtId="165" formatCode="0.00000E+00"/>
    <numFmt numFmtId="166" formatCode="0.000"/>
  </numFmts>
  <fonts count="17" x14ac:knownFonts="1">
    <font>
      <sz val="10"/>
      <name val="Arial"/>
    </font>
    <font>
      <sz val="8"/>
      <name val="Arial"/>
      <family val="2"/>
    </font>
    <font>
      <sz val="24"/>
      <name val="Arial"/>
      <family val="2"/>
    </font>
    <font>
      <sz val="10"/>
      <name val="Arial"/>
      <family val="2"/>
    </font>
    <font>
      <sz val="11"/>
      <name val="Cambria Math"/>
      <family val="1"/>
    </font>
    <font>
      <i/>
      <sz val="11"/>
      <name val="Cambria Math"/>
      <family val="1"/>
    </font>
    <font>
      <sz val="11"/>
      <name val="Symbol"/>
      <family val="1"/>
      <charset val="2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i/>
      <sz val="11"/>
      <name val="Arial"/>
      <family val="2"/>
    </font>
    <font>
      <b/>
      <i/>
      <sz val="12"/>
      <name val="Arial"/>
      <family val="2"/>
    </font>
    <font>
      <b/>
      <sz val="12"/>
      <name val="Symbol"/>
      <family val="1"/>
      <charset val="2"/>
    </font>
    <font>
      <b/>
      <sz val="8"/>
      <color rgb="FF000000"/>
      <name val="Arial"/>
      <family val="34"/>
    </font>
    <font>
      <b/>
      <sz val="9"/>
      <color rgb="FF000000"/>
      <name val="Arial"/>
      <family val="2"/>
    </font>
    <font>
      <b/>
      <sz val="8"/>
      <color rgb="FF00000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9F1FF"/>
        <bgColor indexed="64"/>
      </patternFill>
    </fill>
    <fill>
      <patternFill patternType="solid">
        <fgColor rgb="FFCDDDFF"/>
        <bgColor indexed="64"/>
      </patternFill>
    </fill>
    <fill>
      <patternFill patternType="solid">
        <fgColor rgb="FF9BA8FF"/>
        <bgColor indexed="64"/>
      </patternFill>
    </fill>
    <fill>
      <patternFill patternType="solid">
        <fgColor rgb="FFFFE6F1"/>
        <bgColor indexed="64"/>
      </patternFill>
    </fill>
    <fill>
      <patternFill patternType="solid">
        <fgColor rgb="FFFFDBEA"/>
        <bgColor indexed="64"/>
      </patternFill>
    </fill>
    <fill>
      <patternFill patternType="solid">
        <fgColor rgb="FFFFB3E7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0" borderId="0" xfId="0" applyFont="1"/>
    <xf numFmtId="0" fontId="3" fillId="0" borderId="0" xfId="0" applyFont="1"/>
    <xf numFmtId="0" fontId="0" fillId="4" borderId="1" xfId="0" applyFill="1" applyBorder="1"/>
    <xf numFmtId="0" fontId="0" fillId="4" borderId="3" xfId="0" applyFill="1" applyBorder="1"/>
    <xf numFmtId="0" fontId="0" fillId="0" borderId="0" xfId="0" applyFill="1" applyBorder="1"/>
    <xf numFmtId="0" fontId="7" fillId="3" borderId="0" xfId="0" applyFont="1" applyFill="1" applyBorder="1"/>
    <xf numFmtId="0" fontId="0" fillId="3" borderId="0" xfId="0" applyFill="1" applyBorder="1"/>
    <xf numFmtId="0" fontId="3" fillId="0" borderId="0" xfId="0" applyFont="1" applyAlignment="1">
      <alignment horizontal="right" vertical="center"/>
    </xf>
    <xf numFmtId="0" fontId="0" fillId="6" borderId="5" xfId="0" applyFill="1" applyBorder="1"/>
    <xf numFmtId="0" fontId="3" fillId="6" borderId="5" xfId="0" applyFont="1" applyFill="1" applyBorder="1"/>
    <xf numFmtId="0" fontId="8" fillId="9" borderId="5" xfId="0" applyFont="1" applyFill="1" applyBorder="1"/>
    <xf numFmtId="164" fontId="0" fillId="10" borderId="5" xfId="0" applyNumberFormat="1" applyFill="1" applyBorder="1"/>
    <xf numFmtId="164" fontId="0" fillId="7" borderId="5" xfId="0" applyNumberFormat="1" applyFill="1" applyBorder="1" applyAlignment="1">
      <alignment vertical="center"/>
    </xf>
    <xf numFmtId="0" fontId="0" fillId="0" borderId="0" xfId="0" applyFill="1"/>
    <xf numFmtId="0" fontId="4" fillId="0" borderId="0" xfId="0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6" fillId="0" borderId="0" xfId="0" applyFont="1" applyFill="1" applyAlignment="1">
      <alignment horizontal="center"/>
    </xf>
    <xf numFmtId="165" fontId="0" fillId="0" borderId="0" xfId="0" applyNumberFormat="1" applyFill="1"/>
    <xf numFmtId="166" fontId="0" fillId="0" borderId="0" xfId="0" applyNumberFormat="1" applyFill="1"/>
    <xf numFmtId="0" fontId="0" fillId="0" borderId="0" xfId="0" applyFill="1" applyAlignment="1">
      <alignment vertical="center"/>
    </xf>
    <xf numFmtId="0" fontId="9" fillId="11" borderId="5" xfId="0" applyFont="1" applyFill="1" applyBorder="1" applyAlignment="1">
      <alignment horizontal="center" vertical="center"/>
    </xf>
    <xf numFmtId="165" fontId="9" fillId="13" borderId="5" xfId="0" applyNumberFormat="1" applyFont="1" applyFill="1" applyBorder="1" applyAlignment="1">
      <alignment vertical="center"/>
    </xf>
    <xf numFmtId="166" fontId="9" fillId="11" borderId="5" xfId="0" applyNumberFormat="1" applyFont="1" applyFill="1" applyBorder="1" applyAlignment="1">
      <alignment vertical="center"/>
    </xf>
    <xf numFmtId="0" fontId="9" fillId="14" borderId="5" xfId="0" applyFont="1" applyFill="1" applyBorder="1" applyAlignment="1">
      <alignment horizontal="center"/>
    </xf>
    <xf numFmtId="166" fontId="9" fillId="14" borderId="5" xfId="0" applyNumberFormat="1" applyFont="1" applyFill="1" applyBorder="1"/>
    <xf numFmtId="165" fontId="9" fillId="16" borderId="5" xfId="0" applyNumberFormat="1" applyFont="1" applyFill="1" applyBorder="1"/>
    <xf numFmtId="0" fontId="3" fillId="14" borderId="5" xfId="0" applyFont="1" applyFill="1" applyBorder="1" applyAlignment="1">
      <alignment vertical="center"/>
    </xf>
    <xf numFmtId="165" fontId="3" fillId="11" borderId="5" xfId="0" applyNumberFormat="1" applyFont="1" applyFill="1" applyBorder="1" applyAlignment="1">
      <alignment vertical="center"/>
    </xf>
    <xf numFmtId="0" fontId="7" fillId="8" borderId="0" xfId="0" applyFont="1" applyFill="1" applyAlignment="1"/>
    <xf numFmtId="0" fontId="7" fillId="8" borderId="0" xfId="0" applyFont="1" applyFill="1" applyAlignment="1">
      <alignment vertical="top"/>
    </xf>
    <xf numFmtId="0" fontId="7" fillId="8" borderId="0" xfId="0" applyFont="1" applyFill="1" applyAlignment="1">
      <alignment horizontal="left"/>
    </xf>
    <xf numFmtId="0" fontId="7" fillId="17" borderId="1" xfId="0" applyFont="1" applyFill="1" applyBorder="1"/>
    <xf numFmtId="0" fontId="7" fillId="17" borderId="2" xfId="0" applyFont="1" applyFill="1" applyBorder="1"/>
    <xf numFmtId="0" fontId="7" fillId="17" borderId="2" xfId="0" applyFont="1" applyFill="1" applyBorder="1" applyAlignment="1"/>
    <xf numFmtId="0" fontId="7" fillId="17" borderId="3" xfId="0" applyFont="1" applyFill="1" applyBorder="1"/>
    <xf numFmtId="0" fontId="7" fillId="18" borderId="1" xfId="0" applyFont="1" applyFill="1" applyBorder="1"/>
    <xf numFmtId="0" fontId="7" fillId="18" borderId="3" xfId="0" applyFont="1" applyFill="1" applyBorder="1"/>
    <xf numFmtId="0" fontId="0" fillId="19" borderId="1" xfId="0" applyFill="1" applyBorder="1"/>
    <xf numFmtId="0" fontId="3" fillId="0" borderId="0" xfId="0" applyFont="1" applyFill="1" applyBorder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 vertical="top"/>
    </xf>
    <xf numFmtId="0" fontId="10" fillId="15" borderId="4" xfId="0" applyFont="1" applyFill="1" applyBorder="1" applyAlignment="1">
      <alignment horizontal="center" vertical="center"/>
    </xf>
    <xf numFmtId="0" fontId="10" fillId="12" borderId="5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7" fillId="0" borderId="6" xfId="0" applyFont="1" applyFill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0" fontId="8" fillId="2" borderId="4" xfId="0" applyFont="1" applyFill="1" applyBorder="1" applyAlignment="1">
      <alignment horizontal="left" vertical="center" wrapText="1"/>
    </xf>
    <xf numFmtId="0" fontId="7" fillId="5" borderId="0" xfId="0" applyFont="1" applyFill="1" applyAlignment="1">
      <alignment horizontal="left"/>
    </xf>
    <xf numFmtId="0" fontId="7" fillId="5" borderId="0" xfId="0" applyFont="1" applyFill="1" applyAlignment="1">
      <alignment horizontal="left" vertical="top"/>
    </xf>
  </cellXfs>
  <cellStyles count="1">
    <cellStyle name="Normal" xfId="0" builtinId="0"/>
  </cellStyles>
  <dxfs count="5"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FFB3E7"/>
      <color rgb="FFFFDBEA"/>
      <color rgb="FFFFEDEE"/>
      <color rgb="FFFFE6F1"/>
      <color rgb="FF9BA8FF"/>
      <color rgb="FFCDDDFF"/>
      <color rgb="FFDFE5FF"/>
      <color rgb="FFE9F1FF"/>
      <color rgb="FF7A81FF"/>
      <color rgb="FFFFDA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317500</xdr:colOff>
      <xdr:row>15</xdr:row>
      <xdr:rowOff>55034</xdr:rowOff>
    </xdr:from>
    <xdr:ext cx="1941878" cy="2190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A51124F5-EB24-2F49-A4B0-22B2FE2F26A8}"/>
                </a:ext>
              </a:extLst>
            </xdr:cNvPr>
            <xdr:cNvSpPr txBox="1"/>
          </xdr:nvSpPr>
          <xdr:spPr>
            <a:xfrm>
              <a:off x="486833" y="4034367"/>
              <a:ext cx="1941878" cy="2190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4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4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𝛾</m:t>
                        </m:r>
                      </m:e>
                      <m:sub>
                        <m:r>
                          <a:rPr lang="en-GB" sz="14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a:rPr lang="en-GB" sz="14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𝐹𝑜𝑢𝑟𝑖𝑒𝑟</m:t>
                        </m:r>
                        <m:r>
                          <a:rPr lang="en-GB" sz="14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sub>
                    </m:sSub>
                    <m:r>
                      <a:rPr lang="en-GB" sz="14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b>
                      <m:sSubPr>
                        <m:ctrlPr>
                          <a:rPr lang="en-GB" sz="14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4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𝛾</m:t>
                        </m:r>
                      </m:e>
                      <m:sub>
                        <m:r>
                          <a:rPr lang="en-GB" sz="14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a:rPr lang="en-GB" sz="14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𝐵𝑒𝑠𝑠𝑒𝑙</m:t>
                        </m:r>
                        <m:r>
                          <a:rPr lang="en-GB" sz="14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sub>
                    </m:sSub>
                    <m:r>
                      <m:rPr>
                        <m:nor/>
                      </m:rPr>
                      <a:rPr lang="en-GB" sz="14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l-GR" sz="14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α</m:t>
                    </m:r>
                    <m:r>
                      <a:rPr lang="en-GB" sz="14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)</m:t>
                    </m:r>
                    <m:r>
                      <m:rPr>
                        <m:nor/>
                      </m:rPr>
                      <a:rPr lang="en-GB" sz="1400" b="0" i="0">
                        <a:solidFill>
                          <a:schemeClr val="tx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nor/>
                      </m:rPr>
                      <a:rPr lang="en-GB" sz="14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r>
                      <m:rPr>
                        <m:nor/>
                      </m:rPr>
                      <a:rPr lang="en-GB" sz="1400">
                        <a:effectLst/>
                      </a:rPr>
                      <m:t> </m:t>
                    </m:r>
                  </m:oMath>
                </m:oMathPara>
              </a14:m>
              <a:endParaRPr lang="en-GB" sz="16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A51124F5-EB24-2F49-A4B0-22B2FE2F26A8}"/>
                </a:ext>
              </a:extLst>
            </xdr:cNvPr>
            <xdr:cNvSpPr txBox="1"/>
          </xdr:nvSpPr>
          <xdr:spPr>
            <a:xfrm>
              <a:off x="486833" y="4034367"/>
              <a:ext cx="1941878" cy="2190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4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𝛾_( </a:t>
              </a:r>
              <a:r>
                <a:rPr lang="en-GB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𝐹𝑜𝑢𝑟𝑖𝑒𝑟</a:t>
              </a:r>
              <a:r>
                <a:rPr lang="en-GB" sz="14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)−</a:t>
              </a:r>
              <a:r>
                <a:rPr lang="en-GB" sz="14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𝛾_( </a:t>
              </a:r>
              <a:r>
                <a:rPr lang="en-GB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𝐵𝑒𝑠𝑠𝑒𝑙</a:t>
              </a:r>
              <a:r>
                <a:rPr lang="en-GB" sz="14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r>
                <a:rPr lang="en-GB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"(</a:t>
              </a:r>
              <a:r>
                <a:rPr lang="el-G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" α</a:t>
              </a:r>
              <a:r>
                <a:rPr lang="en-GB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</a:t>
              </a:r>
              <a:r>
                <a:rPr lang="en-GB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" </a:t>
              </a:r>
              <a:r>
                <a:rPr lang="en-GB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=</a:t>
              </a:r>
              <a:r>
                <a:rPr lang="en-GB" sz="1400" i="0">
                  <a:effectLst/>
                  <a:latin typeface="Cambria Math" panose="02040503050406030204" pitchFamily="18" charset="0"/>
                </a:rPr>
                <a:t> </a:t>
              </a:r>
              <a:r>
                <a:rPr lang="en-GB" sz="1400" i="0">
                  <a:effectLst/>
                </a:rPr>
                <a:t>"</a:t>
              </a:r>
              <a:endParaRPr lang="en-GB" sz="1600"/>
            </a:p>
          </xdr:txBody>
        </xdr:sp>
      </mc:Fallback>
    </mc:AlternateContent>
    <xdr:clientData/>
  </xdr:oneCellAnchor>
  <xdr:oneCellAnchor>
    <xdr:from>
      <xdr:col>1</xdr:col>
      <xdr:colOff>203200</xdr:colOff>
      <xdr:row>16</xdr:row>
      <xdr:rowOff>46567</xdr:rowOff>
    </xdr:from>
    <xdr:ext cx="2260812" cy="21050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2529D514-37DA-9D4C-9E0E-8C32EA45C9B1}"/>
                </a:ext>
              </a:extLst>
            </xdr:cNvPr>
            <xdr:cNvSpPr txBox="1"/>
          </xdr:nvSpPr>
          <xdr:spPr>
            <a:xfrm>
              <a:off x="372533" y="4449234"/>
              <a:ext cx="2260812" cy="2105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4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GB" sz="14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∆</m:t>
                        </m:r>
                        <m:r>
                          <a:rPr lang="en-GB" sz="14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𝜙</m:t>
                        </m:r>
                      </m:e>
                      <m:sub>
                        <m:r>
                          <a:rPr lang="en-GB" sz="14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  <m:r>
                          <a:rPr lang="en-GB" sz="14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𝐹𝑜𝑢𝑟𝑖𝑒𝑟</m:t>
                        </m:r>
                        <m:r>
                          <a:rPr lang="en-GB" sz="14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</m:sub>
                    </m:sSub>
                    <m:r>
                      <a:rPr lang="en-GB" sz="14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−</m:t>
                    </m:r>
                    <m:sSub>
                      <m:sSubPr>
                        <m:ctrlPr>
                          <a:rPr lang="en-GB" sz="14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sSubPr>
                      <m:e>
                        <m:r>
                          <a:rPr lang="en-GB" sz="14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∆</m:t>
                        </m:r>
                        <m:r>
                          <a:rPr lang="en-GB" sz="14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𝜙</m:t>
                        </m:r>
                      </m:e>
                      <m:sub>
                        <m:r>
                          <a:rPr lang="en-GB" sz="14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  <m:r>
                          <a:rPr lang="en-GB" sz="14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𝐵𝑒𝑠𝑠𝑒𝑙</m:t>
                        </m:r>
                        <m:r>
                          <a:rPr lang="en-GB" sz="14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</m:sub>
                    </m:sSub>
                    <m:r>
                      <m:rPr>
                        <m:nor/>
                      </m:rPr>
                      <a:rPr lang="en-GB" sz="14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l-GR" sz="14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α</m:t>
                    </m:r>
                    <m:r>
                      <a:rPr lang="en-GB" sz="14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)</m:t>
                    </m:r>
                    <m:r>
                      <m:rPr>
                        <m:nor/>
                      </m:rPr>
                      <a:rPr lang="en-GB" sz="14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 = </m:t>
                    </m:r>
                    <m:r>
                      <m:rPr>
                        <m:nor/>
                      </m:rPr>
                      <a:rPr lang="en-GB" sz="1400"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GB" sz="16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2529D514-37DA-9D4C-9E0E-8C32EA45C9B1}"/>
                </a:ext>
              </a:extLst>
            </xdr:cNvPr>
            <xdr:cNvSpPr txBox="1"/>
          </xdr:nvSpPr>
          <xdr:spPr>
            <a:xfrm>
              <a:off x="372533" y="4449234"/>
              <a:ext cx="2260812" cy="2105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4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〖∆𝜙〗_( </a:t>
              </a:r>
              <a:r>
                <a:rPr lang="en-GB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𝐹𝑜𝑢𝑟𝑖𝑒𝑟</a:t>
              </a:r>
              <a:r>
                <a:rPr lang="en-GB" sz="14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)−〖∆𝜙〗_( </a:t>
              </a:r>
              <a:r>
                <a:rPr lang="en-GB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𝐵𝑒𝑠𝑠𝑒𝑙</a:t>
              </a:r>
              <a:r>
                <a:rPr lang="en-GB" sz="14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)</a:t>
              </a:r>
              <a:r>
                <a:rPr lang="en-GB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"(</a:t>
              </a:r>
              <a:r>
                <a:rPr lang="el-G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" α</a:t>
              </a:r>
              <a:r>
                <a:rPr lang="en-GB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)" = </a:t>
              </a:r>
              <a:r>
                <a:rPr lang="en-GB" sz="1400" i="0">
                  <a:effectLst/>
                  <a:latin typeface="Cambria Math" panose="02040503050406030204" pitchFamily="18" charset="0"/>
                  <a:ea typeface="Cambria Math" panose="02040503050406030204" pitchFamily="18" charset="0"/>
                </a:rPr>
                <a:t> "</a:t>
              </a:r>
              <a:endParaRPr lang="en-GB" sz="16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</xdr:col>
      <xdr:colOff>279400</xdr:colOff>
      <xdr:row>23</xdr:row>
      <xdr:rowOff>127000</xdr:rowOff>
    </xdr:from>
    <xdr:ext cx="65" cy="172098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82ABA3E1-0091-444F-84D6-D659058B0942}"/>
            </a:ext>
          </a:extLst>
        </xdr:cNvPr>
        <xdr:cNvSpPr txBox="1"/>
      </xdr:nvSpPr>
      <xdr:spPr>
        <a:xfrm>
          <a:off x="279400" y="8407400"/>
          <a:ext cx="65" cy="1720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4</xdr:col>
      <xdr:colOff>974228</xdr:colOff>
      <xdr:row>14</xdr:row>
      <xdr:rowOff>51769</xdr:rowOff>
    </xdr:from>
    <xdr:ext cx="773353" cy="187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C27D1819-E8C8-7B4D-BFA1-F2F2FB9CEDAE}"/>
                </a:ext>
              </a:extLst>
            </xdr:cNvPr>
            <xdr:cNvSpPr txBox="1"/>
          </xdr:nvSpPr>
          <xdr:spPr>
            <a:xfrm>
              <a:off x="7141348" y="3831289"/>
              <a:ext cx="773353" cy="187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𝛾</m:t>
                        </m:r>
                      </m:e>
                      <m:sub>
                        <m:r>
                          <a:rPr lang="en-GB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𝐵𝑒𝑠𝑠𝑒𝑙</m:t>
                        </m:r>
                        <m:r>
                          <a:rPr lang="en-GB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sub>
                    </m:sSub>
                    <m:r>
                      <m:rPr>
                        <m:nor/>
                      </m:rPr>
                      <a:rPr lang="en-GB" sz="12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l-GR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α</m:t>
                    </m:r>
                    <m:r>
                      <a:rPr lang="en-GB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)</m:t>
                    </m:r>
                    <m:r>
                      <m:rPr>
                        <m:nor/>
                      </m:rPr>
                      <a:rPr lang="en-GB" sz="12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:</m:t>
                    </m:r>
                  </m:oMath>
                </m:oMathPara>
              </a14:m>
              <a:endParaRPr lang="en-GB" sz="140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C27D1819-E8C8-7B4D-BFA1-F2F2FB9CEDAE}"/>
                </a:ext>
              </a:extLst>
            </xdr:cNvPr>
            <xdr:cNvSpPr txBox="1"/>
          </xdr:nvSpPr>
          <xdr:spPr>
            <a:xfrm>
              <a:off x="7141348" y="3831289"/>
              <a:ext cx="773353" cy="187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𝛾_( </a:t>
              </a:r>
              <a:r>
                <a:rPr lang="en-GB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𝐵𝑒𝑠𝑠𝑒𝑙</a:t>
              </a:r>
              <a:r>
                <a:rPr lang="en-GB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r>
                <a:rPr lang="en-GB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"(</a:t>
              </a:r>
              <a:r>
                <a:rPr lang="el-GR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" α</a:t>
              </a:r>
              <a:r>
                <a:rPr lang="en-GB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)":"</a:t>
              </a:r>
              <a:endParaRPr lang="en-GB" sz="1400"/>
            </a:p>
          </xdr:txBody>
        </xdr:sp>
      </mc:Fallback>
    </mc:AlternateContent>
    <xdr:clientData/>
  </xdr:oneCellAnchor>
  <xdr:oneCellAnchor>
    <xdr:from>
      <xdr:col>4</xdr:col>
      <xdr:colOff>935098</xdr:colOff>
      <xdr:row>17</xdr:row>
      <xdr:rowOff>36468</xdr:rowOff>
    </xdr:from>
    <xdr:ext cx="894411" cy="187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15270FD3-457E-134F-816D-CF3EDAFC0E4D}"/>
                </a:ext>
              </a:extLst>
            </xdr:cNvPr>
            <xdr:cNvSpPr txBox="1"/>
          </xdr:nvSpPr>
          <xdr:spPr>
            <a:xfrm>
              <a:off x="7102218" y="4710068"/>
              <a:ext cx="894411" cy="187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∆</m:t>
                        </m:r>
                        <m:r>
                          <a:rPr lang="en-GB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𝜙</m:t>
                        </m:r>
                      </m:e>
                      <m:sub>
                        <m:r>
                          <a:rPr lang="en-GB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a:rPr lang="en-GB" sz="12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𝐵𝑒𝑠𝑠𝑒𝑙</m:t>
                        </m:r>
                        <m:r>
                          <a:rPr lang="en-GB" sz="12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sub>
                    </m:sSub>
                    <m:r>
                      <m:rPr>
                        <m:nor/>
                      </m:rPr>
                      <a:rPr lang="en-GB" sz="12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l-GR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α</m:t>
                    </m:r>
                    <m:r>
                      <a:rPr lang="en-GB" sz="12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)</m:t>
                    </m:r>
                    <m:r>
                      <m:rPr>
                        <m:nor/>
                      </m:rPr>
                      <a:rPr lang="en-GB" sz="12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:</m:t>
                    </m:r>
                  </m:oMath>
                </m:oMathPara>
              </a14:m>
              <a:endParaRPr lang="en-GB" sz="14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15270FD3-457E-134F-816D-CF3EDAFC0E4D}"/>
                </a:ext>
              </a:extLst>
            </xdr:cNvPr>
            <xdr:cNvSpPr txBox="1"/>
          </xdr:nvSpPr>
          <xdr:spPr>
            <a:xfrm>
              <a:off x="7102218" y="4710068"/>
              <a:ext cx="894411" cy="187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GB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∆𝜙</a:t>
              </a:r>
              <a:r>
                <a:rPr lang="en-GB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〗_( </a:t>
              </a:r>
              <a:r>
                <a:rPr lang="en-GB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𝐵𝑒𝑠𝑠𝑒𝑙</a:t>
              </a:r>
              <a:r>
                <a:rPr lang="en-GB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r>
                <a:rPr lang="en-GB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"(</a:t>
              </a:r>
              <a:r>
                <a:rPr lang="el-GR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" α</a:t>
              </a:r>
              <a:r>
                <a:rPr lang="en-GB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)":"</a:t>
              </a:r>
              <a:endParaRPr lang="en-GB" sz="1400"/>
            </a:p>
          </xdr:txBody>
        </xdr:sp>
      </mc:Fallback>
    </mc:AlternateContent>
    <xdr:clientData/>
  </xdr:oneCellAnchor>
  <xdr:oneCellAnchor>
    <xdr:from>
      <xdr:col>3</xdr:col>
      <xdr:colOff>645160</xdr:colOff>
      <xdr:row>18</xdr:row>
      <xdr:rowOff>111760</xdr:rowOff>
    </xdr:from>
    <xdr:ext cx="65" cy="172098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83C26453-9CBB-3A46-A1F1-36EE9072650E}"/>
            </a:ext>
          </a:extLst>
        </xdr:cNvPr>
        <xdr:cNvSpPr txBox="1"/>
      </xdr:nvSpPr>
      <xdr:spPr>
        <a:xfrm>
          <a:off x="4577080" y="5049520"/>
          <a:ext cx="65" cy="1720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2</xdr:col>
      <xdr:colOff>259078</xdr:colOff>
      <xdr:row>18</xdr:row>
      <xdr:rowOff>125307</xdr:rowOff>
    </xdr:from>
    <xdr:ext cx="1041888" cy="34400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378B1108-70C8-5649-AB52-04078A3F1EFB}"/>
                </a:ext>
              </a:extLst>
            </xdr:cNvPr>
            <xdr:cNvSpPr txBox="1"/>
          </xdr:nvSpPr>
          <xdr:spPr>
            <a:xfrm>
              <a:off x="3036145" y="5052907"/>
              <a:ext cx="1041888" cy="3440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𝑫</m:t>
                    </m:r>
                    <m:r>
                      <a:rPr lang="en-GB" sz="11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f>
                      <m:fPr>
                        <m:ctrlPr>
                          <a:rPr lang="en-GB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GB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sSup>
                          <m:sSupPr>
                            <m:ctrlPr>
                              <a:rPr lang="en-GB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n-GB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𝒓</m:t>
                                </m:r>
                              </m:e>
                              <m:sub>
                                <m:r>
                                  <a:rPr lang="en-GB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𝒊𝒏𝒏𝒆𝒓</m:t>
                                </m:r>
                              </m:sub>
                            </m:sSub>
                          </m:e>
                          <m:sup>
                            <m:r>
                              <a:rPr lang="en-GB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𝟐</m:t>
                            </m:r>
                          </m:sup>
                        </m:sSup>
                        <m:r>
                          <a:rPr lang="en-GB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a:rPr lang="en-GB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𝝎</m:t>
                        </m:r>
                      </m:num>
                      <m:den>
                        <m:sSup>
                          <m:sSupPr>
                            <m:ctrlPr>
                              <a:rPr lang="en-GB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𝜶</m:t>
                            </m:r>
                          </m:e>
                          <m:sup>
                            <m:r>
                              <a:rPr lang="en-GB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𝟐</m:t>
                            </m:r>
                          </m:sup>
                        </m:sSup>
                      </m:den>
                    </m:f>
                    <m:r>
                      <a:rPr lang="en-GB" sz="11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:</m:t>
                    </m:r>
                  </m:oMath>
                </m:oMathPara>
              </a14:m>
              <a:endParaRPr lang="en-GB" sz="1100" b="1"/>
            </a:p>
          </xdr:txBody>
        </xdr:sp>
      </mc:Choice>
      <mc:Fallback xmlns="">
        <xdr:sp macro="" textlink="">
          <xdr:nvSpPr>
            <xdr:cNvPr id="18" name="TextBox 17">
              <a:extLst>
                <a:ext uri="{FF2B5EF4-FFF2-40B4-BE49-F238E27FC236}">
                  <a16:creationId xmlns:a16="http://schemas.microsoft.com/office/drawing/2014/main" id="{378B1108-70C8-5649-AB52-04078A3F1EFB}"/>
                </a:ext>
              </a:extLst>
            </xdr:cNvPr>
            <xdr:cNvSpPr txBox="1"/>
          </xdr:nvSpPr>
          <xdr:spPr>
            <a:xfrm>
              <a:off x="3036145" y="5052907"/>
              <a:ext cx="1041888" cy="3440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𝑫=  ( 〖𝒓_𝒊𝒏𝒏𝒆𝒓〗^𝟐  </a:t>
              </a:r>
              <a:r>
                <a:rPr lang="en-GB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𝝎</a:t>
              </a:r>
              <a:r>
                <a:rPr lang="en-GB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)/𝜶^𝟐   </a:t>
              </a:r>
              <a:r>
                <a:rPr lang="en-GB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:</a:t>
              </a:r>
              <a:endParaRPr lang="en-GB" sz="1100" b="1"/>
            </a:p>
          </xdr:txBody>
        </xdr:sp>
      </mc:Fallback>
    </mc:AlternateContent>
    <xdr:clientData/>
  </xdr:oneCellAnchor>
  <xdr:twoCellAnchor>
    <xdr:from>
      <xdr:col>3</xdr:col>
      <xdr:colOff>515620</xdr:colOff>
      <xdr:row>2</xdr:row>
      <xdr:rowOff>393713</xdr:rowOff>
    </xdr:from>
    <xdr:to>
      <xdr:col>4</xdr:col>
      <xdr:colOff>1455844</xdr:colOff>
      <xdr:row>8</xdr:row>
      <xdr:rowOff>242454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E45D9BD2-88F5-414E-A638-D124B7E5F1E6}"/>
            </a:ext>
          </a:extLst>
        </xdr:cNvPr>
        <xdr:cNvSpPr txBox="1"/>
      </xdr:nvSpPr>
      <xdr:spPr>
        <a:xfrm>
          <a:off x="4914438" y="973872"/>
          <a:ext cx="2351656" cy="1511287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>
              <a:latin typeface="Arial" panose="020B0604020202020204" pitchFamily="34" charset="0"/>
              <a:cs typeface="Arial" panose="020B0604020202020204" pitchFamily="34" charset="0"/>
            </a:rPr>
            <a:t>NOTES: </a:t>
          </a:r>
        </a:p>
        <a:p>
          <a:pPr marL="342900" marR="0" lvl="0" indent="-34290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800"/>
            </a:spcAft>
            <a:buClrTx/>
            <a:buSzPts val="1000"/>
            <a:buFont typeface="Symbol" pitchFamily="2" charset="2"/>
            <a:buChar char=""/>
            <a:tabLst>
              <a:tab pos="457200" algn="l"/>
            </a:tabLst>
            <a:defRPr/>
          </a:pPr>
          <a:r>
            <a:rPr lang="en-GB" sz="1100">
              <a:latin typeface="Arial" panose="020B0604020202020204" pitchFamily="34" charset="0"/>
              <a:cs typeface="Arial" panose="020B0604020202020204" pitchFamily="34" charset="0"/>
            </a:rPr>
            <a:t>To use this spread sheet for analysis, the macro function needs to be enabled.</a:t>
          </a:r>
        </a:p>
        <a:p>
          <a:pPr marL="342900" marR="0" lvl="0" indent="-34290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800"/>
            </a:spcAft>
            <a:buClrTx/>
            <a:buSzPts val="1000"/>
            <a:buFont typeface="Symbol" pitchFamily="2" charset="2"/>
            <a:buChar char=""/>
            <a:tabLst>
              <a:tab pos="457200" algn="l"/>
            </a:tabLst>
            <a:defRPr/>
          </a:pPr>
          <a:r>
            <a:rPr lang="en-GB" sz="1100">
              <a:latin typeface="Arial" panose="020B0604020202020204" pitchFamily="34" charset="0"/>
              <a:cs typeface="Arial" panose="020B0604020202020204" pitchFamily="34" charset="0"/>
            </a:rPr>
            <a:t>You can access the solver through:   Tools-&gt;Solver…</a:t>
          </a:r>
          <a:r>
            <a:rPr lang="en-GB" sz="1100" baseline="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GB" sz="1100">
              <a:latin typeface="Arial" panose="020B0604020202020204" pitchFamily="34" charset="0"/>
              <a:cs typeface="Arial" panose="020B0604020202020204" pitchFamily="34" charset="0"/>
            </a:rPr>
            <a:t>menu selection.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29"/>
  <sheetViews>
    <sheetView tabSelected="1" topLeftCell="A3" zoomScale="110" zoomScaleNormal="110" workbookViewId="0">
      <selection activeCell="H10" sqref="H10"/>
    </sheetView>
  </sheetViews>
  <sheetFormatPr defaultColWidth="8.77734375" defaultRowHeight="13.2" x14ac:dyDescent="0.25"/>
  <cols>
    <col min="1" max="1" width="2.109375" style="40" customWidth="1"/>
    <col min="2" max="2" width="40.88671875" customWidth="1"/>
    <col min="3" max="3" width="21.21875" customWidth="1"/>
    <col min="4" max="4" width="20.5546875" customWidth="1"/>
    <col min="5" max="5" width="27.33203125" customWidth="1"/>
    <col min="6" max="6" width="22.109375" customWidth="1"/>
    <col min="7" max="7" width="7" customWidth="1"/>
    <col min="8" max="8" width="14.44140625" customWidth="1"/>
    <col min="9" max="10" width="8.77734375" customWidth="1"/>
    <col min="11" max="11" width="12.44140625" bestFit="1" customWidth="1"/>
  </cols>
  <sheetData>
    <row r="1" spans="1:11" s="1" customFormat="1" ht="28.05" customHeight="1" x14ac:dyDescent="0.5">
      <c r="A1" s="40"/>
      <c r="B1" s="41" t="s">
        <v>2</v>
      </c>
      <c r="C1" s="41"/>
      <c r="D1" s="41"/>
      <c r="E1" s="41"/>
      <c r="F1" s="41"/>
      <c r="G1" s="41"/>
    </row>
    <row r="2" spans="1:11" s="1" customFormat="1" ht="18" customHeight="1" x14ac:dyDescent="0.5">
      <c r="A2" s="40"/>
      <c r="B2" s="41"/>
      <c r="C2" s="41"/>
      <c r="D2" s="41"/>
      <c r="E2" s="41"/>
      <c r="F2" s="41"/>
      <c r="G2" s="41"/>
    </row>
    <row r="3" spans="1:11" s="1" customFormat="1" ht="46.95" customHeight="1" x14ac:dyDescent="0.5">
      <c r="A3" s="40"/>
      <c r="B3" s="49" t="s">
        <v>21</v>
      </c>
      <c r="C3" s="49"/>
      <c r="D3" s="40"/>
      <c r="E3" s="40"/>
      <c r="F3" s="40"/>
      <c r="G3" s="40"/>
    </row>
    <row r="4" spans="1:11" ht="16.05" customHeight="1" x14ac:dyDescent="0.3">
      <c r="B4" s="32" t="s">
        <v>0</v>
      </c>
      <c r="C4" s="38">
        <v>5.0000000000000001E-3</v>
      </c>
      <c r="D4" s="40"/>
      <c r="E4" s="40"/>
      <c r="F4" s="40"/>
      <c r="G4" s="40"/>
    </row>
    <row r="5" spans="1:11" ht="18" customHeight="1" x14ac:dyDescent="0.3">
      <c r="B5" s="33" t="s">
        <v>1</v>
      </c>
      <c r="C5" s="38">
        <v>0.01</v>
      </c>
      <c r="D5" s="40"/>
      <c r="E5" s="40"/>
      <c r="F5" s="40"/>
      <c r="G5" s="40"/>
    </row>
    <row r="6" spans="1:11" ht="19.95" customHeight="1" x14ac:dyDescent="0.3">
      <c r="B6" s="33" t="s">
        <v>12</v>
      </c>
      <c r="C6" s="38">
        <v>70</v>
      </c>
      <c r="D6" s="40"/>
      <c r="E6" s="40"/>
      <c r="F6" s="40"/>
      <c r="G6" s="40"/>
    </row>
    <row r="7" spans="1:11" ht="16.05" customHeight="1" x14ac:dyDescent="0.3">
      <c r="B7" s="34" t="s">
        <v>3</v>
      </c>
      <c r="C7" s="38">
        <v>0.04</v>
      </c>
      <c r="D7" s="40"/>
      <c r="E7" s="40"/>
      <c r="F7" s="40"/>
      <c r="G7" s="40"/>
    </row>
    <row r="8" spans="1:11" ht="16.05" customHeight="1" x14ac:dyDescent="0.3">
      <c r="B8" s="35" t="s">
        <v>5</v>
      </c>
      <c r="C8" s="38">
        <v>5</v>
      </c>
      <c r="D8" s="40"/>
      <c r="E8" s="40"/>
      <c r="F8" s="40"/>
      <c r="G8" s="40"/>
    </row>
    <row r="9" spans="1:11" ht="24" customHeight="1" x14ac:dyDescent="0.3">
      <c r="B9" s="47"/>
      <c r="C9" s="47"/>
      <c r="D9" s="40"/>
      <c r="E9" s="40"/>
      <c r="F9" s="40"/>
      <c r="G9" s="40"/>
    </row>
    <row r="10" spans="1:11" s="5" customFormat="1" ht="16.05" customHeight="1" x14ac:dyDescent="0.3">
      <c r="A10" s="40"/>
      <c r="B10" s="6" t="s">
        <v>7</v>
      </c>
      <c r="C10" s="7"/>
      <c r="D10" s="40"/>
      <c r="E10" s="40"/>
      <c r="F10" s="40"/>
      <c r="G10" s="40"/>
    </row>
    <row r="11" spans="1:11" ht="16.05" customHeight="1" x14ac:dyDescent="0.3">
      <c r="B11" s="36" t="s">
        <v>6</v>
      </c>
      <c r="C11" s="3">
        <f>C5/C4</f>
        <v>2</v>
      </c>
      <c r="D11" s="40"/>
      <c r="E11" s="40"/>
      <c r="F11" s="40"/>
      <c r="G11" s="40"/>
    </row>
    <row r="12" spans="1:11" ht="16.05" customHeight="1" x14ac:dyDescent="0.3">
      <c r="B12" s="37" t="s">
        <v>13</v>
      </c>
      <c r="C12" s="4">
        <f>8*ATAN(1)/C6</f>
        <v>8.9759790102565518E-2</v>
      </c>
      <c r="D12" s="40"/>
      <c r="E12" s="40"/>
      <c r="F12" s="40"/>
      <c r="G12" s="40"/>
      <c r="H12" s="20"/>
    </row>
    <row r="13" spans="1:11" ht="22.05" customHeight="1" x14ac:dyDescent="0.25">
      <c r="B13" s="45" t="s">
        <v>4</v>
      </c>
      <c r="C13" s="45"/>
      <c r="D13" s="40"/>
      <c r="E13" s="42" t="s">
        <v>19</v>
      </c>
      <c r="F13" s="42"/>
      <c r="G13" s="44"/>
      <c r="H13" s="20"/>
    </row>
    <row r="14" spans="1:11" ht="22.95" customHeight="1" x14ac:dyDescent="0.3">
      <c r="B14" s="50" t="s">
        <v>8</v>
      </c>
      <c r="C14" s="50"/>
      <c r="D14" s="40"/>
      <c r="E14" s="24" t="s">
        <v>14</v>
      </c>
      <c r="F14" s="26">
        <v>5.0547898774216637</v>
      </c>
      <c r="G14" s="44"/>
      <c r="H14" s="18"/>
      <c r="I14" s="2"/>
      <c r="K14" s="8"/>
    </row>
    <row r="15" spans="1:11" ht="22.95" customHeight="1" x14ac:dyDescent="0.25">
      <c r="B15" s="51" t="s">
        <v>9</v>
      </c>
      <c r="C15" s="51"/>
      <c r="D15" s="40"/>
      <c r="E15" s="27" t="s">
        <v>15</v>
      </c>
      <c r="F15" s="25">
        <f>bessel_trans(F14,C11)</f>
        <v>3.9999974661632832E-2</v>
      </c>
      <c r="G15" s="44"/>
      <c r="H15" s="19"/>
    </row>
    <row r="16" spans="1:11" ht="22.95" customHeight="1" x14ac:dyDescent="0.25">
      <c r="B16" s="10"/>
      <c r="C16" s="13">
        <f>C7-F15</f>
        <v>2.533836716833715E-8</v>
      </c>
      <c r="D16" s="40"/>
      <c r="E16" s="43" t="s">
        <v>20</v>
      </c>
      <c r="F16" s="43"/>
      <c r="G16" s="44"/>
    </row>
    <row r="17" spans="2:8" ht="24" customHeight="1" x14ac:dyDescent="0.25">
      <c r="B17" s="9"/>
      <c r="C17" s="13">
        <f>C8-F18</f>
        <v>5.0752714031432333E-8</v>
      </c>
      <c r="D17" s="40"/>
      <c r="E17" s="21" t="s">
        <v>14</v>
      </c>
      <c r="F17" s="22">
        <v>7.0606881406829061</v>
      </c>
      <c r="G17" s="44"/>
    </row>
    <row r="18" spans="2:8" ht="21" customHeight="1" x14ac:dyDescent="0.25">
      <c r="B18" s="45"/>
      <c r="C18" s="45"/>
      <c r="D18" s="40"/>
      <c r="E18" s="28" t="s">
        <v>16</v>
      </c>
      <c r="F18" s="23">
        <f>bessel_phase(F17,C11)</f>
        <v>4.999999949247286</v>
      </c>
      <c r="G18" s="44"/>
    </row>
    <row r="19" spans="2:8" ht="16.05" customHeight="1" x14ac:dyDescent="0.3">
      <c r="B19" s="31" t="s">
        <v>17</v>
      </c>
      <c r="C19" s="29"/>
      <c r="D19" s="40"/>
      <c r="E19" s="48"/>
      <c r="F19" s="48"/>
      <c r="G19" s="48"/>
    </row>
    <row r="20" spans="2:8" ht="38.4" customHeight="1" x14ac:dyDescent="0.25">
      <c r="B20" s="30" t="s">
        <v>18</v>
      </c>
      <c r="C20" s="30"/>
      <c r="D20" s="40"/>
      <c r="E20" s="48"/>
      <c r="F20" s="48"/>
      <c r="G20" s="48"/>
    </row>
    <row r="21" spans="2:8" ht="16.05" customHeight="1" x14ac:dyDescent="0.25">
      <c r="B21" s="11" t="s">
        <v>10</v>
      </c>
      <c r="C21" s="12">
        <f>C12*C4*C4/(F14*F14)</f>
        <v>8.7824487225812657E-8</v>
      </c>
      <c r="D21" s="40"/>
      <c r="E21" s="48"/>
      <c r="F21" s="48"/>
      <c r="G21" s="48"/>
      <c r="H21" s="14"/>
    </row>
    <row r="22" spans="2:8" ht="16.05" customHeight="1" x14ac:dyDescent="0.25">
      <c r="B22" s="11" t="s">
        <v>11</v>
      </c>
      <c r="C22" s="12">
        <f>C12*C4*C4/(F17*F17)</f>
        <v>4.5011944775205005E-8</v>
      </c>
      <c r="D22" s="40"/>
      <c r="E22" s="48"/>
      <c r="F22" s="48"/>
      <c r="G22" s="48"/>
      <c r="H22" s="14"/>
    </row>
    <row r="23" spans="2:8" ht="83.4" x14ac:dyDescent="4.1500000000000004">
      <c r="B23" s="45"/>
      <c r="C23" s="45"/>
      <c r="D23" s="40"/>
      <c r="E23" s="48"/>
      <c r="F23" s="48"/>
      <c r="G23" s="48"/>
      <c r="H23" s="15"/>
    </row>
    <row r="24" spans="2:8" ht="83.4" x14ac:dyDescent="4.1500000000000004">
      <c r="B24" s="46"/>
      <c r="C24" s="46"/>
      <c r="D24" s="40"/>
      <c r="E24" s="48"/>
      <c r="F24" s="48"/>
      <c r="G24" s="48"/>
      <c r="H24" s="15"/>
    </row>
    <row r="25" spans="2:8" ht="83.4" x14ac:dyDescent="4.1500000000000004">
      <c r="B25" s="46"/>
      <c r="C25" s="46"/>
      <c r="D25" s="40"/>
      <c r="E25" s="48"/>
      <c r="F25" s="48"/>
      <c r="G25" s="48"/>
      <c r="H25" s="16"/>
    </row>
    <row r="26" spans="2:8" ht="83.4" x14ac:dyDescent="4.1500000000000004">
      <c r="B26" s="46"/>
      <c r="C26" s="46"/>
      <c r="D26" s="40"/>
      <c r="E26" s="48"/>
      <c r="F26" s="48"/>
      <c r="G26" s="48"/>
      <c r="H26" s="15"/>
    </row>
    <row r="27" spans="2:8" ht="83.4" x14ac:dyDescent="4.1500000000000004">
      <c r="B27" s="39"/>
      <c r="G27" s="14"/>
      <c r="H27" s="15"/>
    </row>
    <row r="28" spans="2:8" ht="83.4" x14ac:dyDescent="4.1500000000000004">
      <c r="B28" s="5"/>
      <c r="C28" s="2"/>
      <c r="G28" s="14"/>
      <c r="H28" s="15"/>
    </row>
    <row r="29" spans="2:8" ht="13.8" x14ac:dyDescent="0.25">
      <c r="G29" s="14"/>
      <c r="H29" s="17"/>
    </row>
  </sheetData>
  <mergeCells count="15">
    <mergeCell ref="A1:A1048576"/>
    <mergeCell ref="B1:G2"/>
    <mergeCell ref="E13:F13"/>
    <mergeCell ref="E16:F16"/>
    <mergeCell ref="E3:G12"/>
    <mergeCell ref="G13:G18"/>
    <mergeCell ref="D3:D26"/>
    <mergeCell ref="B23:C26"/>
    <mergeCell ref="B13:C13"/>
    <mergeCell ref="B9:C9"/>
    <mergeCell ref="B18:C18"/>
    <mergeCell ref="E19:G26"/>
    <mergeCell ref="B3:C3"/>
    <mergeCell ref="B14:C14"/>
    <mergeCell ref="B15:C15"/>
  </mergeCells>
  <phoneticPr fontId="1" type="noConversion"/>
  <conditionalFormatting sqref="C4">
    <cfRule type="expression" dxfId="4" priority="5">
      <formula>C4&gt;0</formula>
    </cfRule>
  </conditionalFormatting>
  <conditionalFormatting sqref="C5">
    <cfRule type="expression" dxfId="3" priority="4">
      <formula>C5&gt;0</formula>
    </cfRule>
  </conditionalFormatting>
  <conditionalFormatting sqref="C6">
    <cfRule type="expression" dxfId="2" priority="3">
      <formula>C6&gt;0</formula>
    </cfRule>
  </conditionalFormatting>
  <conditionalFormatting sqref="C7">
    <cfRule type="expression" dxfId="1" priority="2">
      <formula>C7&gt;0</formula>
    </cfRule>
  </conditionalFormatting>
  <conditionalFormatting sqref="C8">
    <cfRule type="expression" dxfId="0" priority="1">
      <formula>C8&gt;0</formula>
    </cfRule>
  </conditionalFormatting>
  <pageMargins left="0.75" right="0.75" top="1" bottom="1" header="0.5" footer="0.5"/>
  <pageSetup paperSize="9" orientation="portrait"/>
  <headerFooter alignWithMargins="0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09893EAD5EAE747BE6D7477A18487AD" ma:contentTypeVersion="4" ma:contentTypeDescription="Create a new document." ma:contentTypeScope="" ma:versionID="427047acc4d24621752fc0db85818353">
  <xsd:schema xmlns:xsd="http://www.w3.org/2001/XMLSchema" xmlns:xs="http://www.w3.org/2001/XMLSchema" xmlns:p="http://schemas.microsoft.com/office/2006/metadata/properties" xmlns:ns2="af12629a-b6b1-43f8-8de8-fe05a40435cf" xmlns:ns3="1ad2cc71-2522-4d63-85ea-8413b9f7f117" targetNamespace="http://schemas.microsoft.com/office/2006/metadata/properties" ma:root="true" ma:fieldsID="625b72bcdb96d18e07df7dee46d3f636" ns2:_="" ns3:_="">
    <xsd:import namespace="af12629a-b6b1-43f8-8de8-fe05a40435cf"/>
    <xsd:import namespace="1ad2cc71-2522-4d63-85ea-8413b9f7f11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12629a-b6b1-43f8-8de8-fe05a40435c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d2cc71-2522-4d63-85ea-8413b9f7f11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6D74646-D35B-4FEE-B580-659B447301C0}"/>
</file>

<file path=customXml/itemProps2.xml><?xml version="1.0" encoding="utf-8"?>
<ds:datastoreItem xmlns:ds="http://schemas.openxmlformats.org/officeDocument/2006/customXml" ds:itemID="{50AAE4F4-9965-47AC-B701-DF4DCB3C235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7F30135-C26E-48D0-BB2D-47B5DE00F8F9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Bessel</vt:lpstr>
    </vt:vector>
  </TitlesOfParts>
  <Manager/>
  <Company>Imperial College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ICT</dc:creator>
  <cp:keywords/>
  <dc:description/>
  <cp:lastModifiedBy>Suzuki Vidal, Francisco A</cp:lastModifiedBy>
  <dcterms:created xsi:type="dcterms:W3CDTF">2008-09-01T09:13:44Z</dcterms:created>
  <dcterms:modified xsi:type="dcterms:W3CDTF">2020-10-16T09:41:41Z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0x010100B09893EAD5EAE747BE6D7477A18487AD</vt:lpwstr>
  </property>
  <property fmtid="{D5CDD505-2E9C-101B-9397-08002B2CF9AE}" pid="3" name="Order">
    <vt:r8>5000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ComplianceAssetId">
    <vt:lpwstr/>
  </property>
  <property fmtid="{D5CDD505-2E9C-101B-9397-08002B2CF9AE}" pid="11" name="TemplateUrl">
    <vt:lpwstr/>
  </property>
</Properties>
</file>